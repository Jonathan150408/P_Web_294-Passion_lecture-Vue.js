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e40boh\Documents\Github\P_Web_294-Passion_lecture-Vue.js\doc\"/>
    </mc:Choice>
  </mc:AlternateContent>
  <xr:revisionPtr revIDLastSave="0" documentId="13_ncr:1_{86250B43-977D-4520-9C91-2B4281E64D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15" i="1"/>
  <c r="C16" i="1"/>
  <c r="C17" i="1"/>
  <c r="C18" i="1"/>
  <c r="C19" i="1"/>
  <c r="C20" i="1"/>
  <c r="C21" i="1"/>
  <c r="C14" i="1"/>
  <c r="B11" i="1"/>
</calcChain>
</file>

<file path=xl/sharedStrings.xml><?xml version="1.0" encoding="utf-8"?>
<sst xmlns="http://schemas.openxmlformats.org/spreadsheetml/2006/main" count="25" uniqueCount="25">
  <si>
    <t>Module :</t>
  </si>
  <si>
    <t>294 - FrontEnd</t>
  </si>
  <si>
    <t>Prénom - nom :</t>
  </si>
  <si>
    <t>Jonathan Junod et Neo Darbellay</t>
  </si>
  <si>
    <t>Classe :</t>
  </si>
  <si>
    <t>CID2A - MID2A</t>
  </si>
  <si>
    <t>Lieu :</t>
  </si>
  <si>
    <t>EMTL - Vennes</t>
  </si>
  <si>
    <t>Date Début :</t>
  </si>
  <si>
    <t>Date Fin:</t>
  </si>
  <si>
    <t>Nombre de semaines:</t>
  </si>
  <si>
    <t>Nombre de Périodes/Semaine :</t>
  </si>
  <si>
    <t>Liste des tâches</t>
  </si>
  <si>
    <t>planification</t>
  </si>
  <si>
    <t>Base Vue</t>
  </si>
  <si>
    <t>HTML</t>
  </si>
  <si>
    <t>Maquettes</t>
  </si>
  <si>
    <t>Vue JS - implémentation</t>
  </si>
  <si>
    <t>CSS</t>
  </si>
  <si>
    <t>Données JSON</t>
  </si>
  <si>
    <t>Autre</t>
  </si>
  <si>
    <t>Nombre total de périodes :</t>
  </si>
  <si>
    <t>Nombre de périodes</t>
  </si>
  <si>
    <t>Pourcentage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</si>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</sst>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entury Gothic"/>
      <family val="2"/>
    </font>
    <font>
      <sz val="16"/>
      <name val="Century Gothic"/>
      <family val="2"/>
    </font>
    <font>
      <sz val="10"/>
      <name val="Century Gothic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 applyProtection="1">
      <alignment horizontal="left" vertical="center" indent="2"/>
      <protection locked="0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 applyProtection="1">
      <alignment horizontal="left" vertical="center" indent="2"/>
      <protection locked="0"/>
    </xf>
    <xf numFmtId="0" fontId="3" fillId="2" borderId="5" xfId="0" applyFont="1" applyFill="1" applyBorder="1" applyAlignment="1">
      <alignment vertical="center"/>
    </xf>
    <xf numFmtId="0" fontId="4" fillId="3" borderId="6" xfId="0" applyFont="1" applyFill="1" applyBorder="1" applyAlignment="1" applyProtection="1">
      <alignment horizontal="left" vertical="center" indent="2"/>
      <protection locked="0"/>
    </xf>
    <xf numFmtId="0" fontId="5" fillId="4" borderId="0" xfId="0" applyFont="1" applyFill="1"/>
    <xf numFmtId="164" fontId="4" fillId="3" borderId="2" xfId="0" applyNumberFormat="1" applyFont="1" applyFill="1" applyBorder="1" applyAlignment="1" applyProtection="1">
      <alignment horizontal="left" vertical="center" indent="2"/>
      <protection locked="0"/>
    </xf>
    <xf numFmtId="0" fontId="3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 applyProtection="1">
      <alignment horizontal="left" vertical="center" indent="2"/>
      <protection locked="0"/>
    </xf>
    <xf numFmtId="1" fontId="4" fillId="3" borderId="8" xfId="0" applyNumberFormat="1" applyFont="1" applyFill="1" applyBorder="1" applyAlignment="1" applyProtection="1">
      <alignment horizontal="left" vertical="center" indent="2"/>
      <protection locked="0"/>
    </xf>
    <xf numFmtId="1" fontId="4" fillId="3" borderId="4" xfId="0" applyNumberFormat="1" applyFont="1" applyFill="1" applyBorder="1" applyAlignment="1" applyProtection="1">
      <alignment horizontal="left" vertical="center" indent="2"/>
      <protection locked="0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 applyProtection="1">
      <alignment horizontal="left" vertical="center" indent="2"/>
    </xf>
    <xf numFmtId="164" fontId="2" fillId="7" borderId="13" xfId="0" applyNumberFormat="1" applyFont="1" applyFill="1" applyBorder="1" applyAlignment="1" applyProtection="1">
      <alignment horizontal="left" vertical="center" indent="2"/>
      <protection locked="0"/>
    </xf>
    <xf numFmtId="1" fontId="2" fillId="8" borderId="13" xfId="0" applyNumberFormat="1" applyFont="1" applyFill="1" applyBorder="1" applyAlignment="1" applyProtection="1">
      <alignment horizontal="left" vertical="center" indent="2"/>
      <protection locked="0"/>
    </xf>
    <xf numFmtId="0" fontId="6" fillId="7" borderId="14" xfId="0" applyFont="1" applyFill="1" applyBorder="1" applyAlignment="1">
      <alignment horizontal="left"/>
    </xf>
    <xf numFmtId="1" fontId="2" fillId="7" borderId="13" xfId="0" applyNumberFormat="1" applyFont="1" applyFill="1" applyBorder="1" applyAlignment="1" applyProtection="1">
      <alignment horizontal="left" vertical="center" indent="2"/>
      <protection locked="0"/>
    </xf>
    <xf numFmtId="0" fontId="6" fillId="7" borderId="15" xfId="0" applyFont="1" applyFill="1" applyBorder="1" applyAlignment="1">
      <alignment horizontal="left"/>
    </xf>
    <xf numFmtId="1" fontId="2" fillId="7" borderId="16" xfId="0" applyNumberFormat="1" applyFont="1" applyFill="1" applyBorder="1" applyAlignment="1" applyProtection="1">
      <alignment horizontal="left" vertical="center" indent="2"/>
      <protection locked="0"/>
    </xf>
    <xf numFmtId="0" fontId="6" fillId="7" borderId="17" xfId="0" applyFont="1" applyFill="1" applyBorder="1" applyAlignment="1">
      <alignment horizontal="left"/>
    </xf>
    <xf numFmtId="1" fontId="1" fillId="6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/>
    <xf numFmtId="0" fontId="6" fillId="7" borderId="12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left"/>
    </xf>
    <xf numFmtId="0" fontId="6" fillId="0" borderId="19" xfId="0" applyFont="1" applyBorder="1" applyAlignment="1">
      <alignment horizontal="center"/>
    </xf>
    <xf numFmtId="1" fontId="2" fillId="9" borderId="0" xfId="0" applyNumberFormat="1" applyFont="1" applyFill="1" applyBorder="1" applyAlignment="1" applyProtection="1">
      <alignment horizontal="right" vertical="center"/>
      <protection locked="0"/>
    </xf>
    <xf numFmtId="0" fontId="6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Répartition du temps planifié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0-4EB7-8B71-B40FAE6ADC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0-4EB7-8B71-B40FAE6ADC8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40-4EB7-8B71-B40FAE6ADC89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40-4EB7-8B71-B40FAE6ADC89}"/>
              </c:ext>
            </c:extLst>
          </c:dPt>
          <c:dPt>
            <c:idx val="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40-4EB7-8B71-B40FAE6ADC89}"/>
              </c:ext>
            </c:extLst>
          </c:dPt>
          <c:dPt>
            <c:idx val="5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540-4EB7-8B71-B40FAE6ADC8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540-4EB7-8B71-B40FAE6ADC89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540-4EB7-8B71-B40FAE6ADC89}"/>
              </c:ext>
            </c:extLst>
          </c:dPt>
          <c:cat>
            <c:strRef>
              <c:f>planif!$A$14:$A$21</c:f>
              <c:strCache>
                <c:ptCount val="8"/>
                <c:pt idx="0">
                  <c:v>planification</c:v>
                </c:pt>
                <c:pt idx="1">
                  <c:v>Maquettes</c:v>
                </c:pt>
                <c:pt idx="2">
                  <c:v>Base Vue</c:v>
                </c:pt>
                <c:pt idx="3">
                  <c:v>HTML</c:v>
                </c:pt>
                <c:pt idx="4">
                  <c:v>Vue JS - implémentation</c:v>
                </c:pt>
                <c:pt idx="5">
                  <c:v>CSS</c:v>
                </c:pt>
                <c:pt idx="6">
                  <c:v>Données JSON</c:v>
                </c:pt>
                <c:pt idx="7">
                  <c:v>Autre</c:v>
                </c:pt>
              </c:strCache>
            </c:strRef>
          </c:cat>
          <c:val>
            <c:numRef>
              <c:f>planif!$B$14:$B$21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40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B-44B9-B211-72D4F3831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138112</xdr:rowOff>
    </xdr:from>
    <xdr:to>
      <xdr:col>3</xdr:col>
      <xdr:colOff>552450</xdr:colOff>
      <xdr:row>11</xdr:row>
      <xdr:rowOff>157162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14ABEA-48D6-3D56-2940-CBA9D6407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19" sqref="B19"/>
    </sheetView>
  </sheetViews>
  <sheetFormatPr baseColWidth="10" defaultColWidth="9.140625" defaultRowHeight="15" x14ac:dyDescent="0.25"/>
  <cols>
    <col min="1" max="3" width="60.7109375" customWidth="1"/>
  </cols>
  <sheetData>
    <row r="1" spans="1:4" ht="20.25" x14ac:dyDescent="0.25">
      <c r="A1" s="1" t="s">
        <v>0</v>
      </c>
      <c r="B1" s="2" t="s">
        <v>1</v>
      </c>
    </row>
    <row r="2" spans="1:4" ht="20.25" x14ac:dyDescent="0.25">
      <c r="A2" s="3" t="s">
        <v>2</v>
      </c>
      <c r="B2" s="4" t="s">
        <v>3</v>
      </c>
    </row>
    <row r="3" spans="1:4" ht="20.25" x14ac:dyDescent="0.25">
      <c r="A3" s="3" t="s">
        <v>4</v>
      </c>
      <c r="B3" s="4" t="s">
        <v>5</v>
      </c>
    </row>
    <row r="4" spans="1:4" ht="21" thickBot="1" x14ac:dyDescent="0.3">
      <c r="A4" s="5" t="s">
        <v>6</v>
      </c>
      <c r="B4" s="6" t="s">
        <v>7</v>
      </c>
    </row>
    <row r="5" spans="1:4" x14ac:dyDescent="0.25">
      <c r="A5" s="7"/>
      <c r="B5" s="7"/>
    </row>
    <row r="6" spans="1:4" ht="15.75" thickBot="1" x14ac:dyDescent="0.3">
      <c r="A6" s="7"/>
      <c r="B6" s="7"/>
    </row>
    <row r="7" spans="1:4" ht="20.25" x14ac:dyDescent="0.25">
      <c r="A7" s="1" t="s">
        <v>8</v>
      </c>
      <c r="B7" s="8">
        <v>46036</v>
      </c>
    </row>
    <row r="8" spans="1:4" ht="20.25" x14ac:dyDescent="0.25">
      <c r="A8" s="9" t="s">
        <v>9</v>
      </c>
      <c r="B8" s="10">
        <v>46092</v>
      </c>
    </row>
    <row r="9" spans="1:4" ht="20.25" x14ac:dyDescent="0.25">
      <c r="A9" s="9" t="s">
        <v>10</v>
      </c>
      <c r="B9" s="11">
        <v>7</v>
      </c>
    </row>
    <row r="10" spans="1:4" ht="20.25" x14ac:dyDescent="0.25">
      <c r="A10" s="3" t="s">
        <v>11</v>
      </c>
      <c r="B10" s="12">
        <v>9</v>
      </c>
    </row>
    <row r="11" spans="1:4" ht="21" thickBot="1" x14ac:dyDescent="0.3">
      <c r="A11" s="5" t="s">
        <v>21</v>
      </c>
      <c r="B11" s="15">
        <f>B10*B9</f>
        <v>63</v>
      </c>
    </row>
    <row r="12" spans="1:4" ht="15.75" thickBot="1" x14ac:dyDescent="0.3"/>
    <row r="13" spans="1:4" ht="21.75" thickBot="1" x14ac:dyDescent="0.3">
      <c r="A13" s="13" t="s">
        <v>12</v>
      </c>
      <c r="B13" s="14" t="s">
        <v>22</v>
      </c>
      <c r="C13" s="23" t="s">
        <v>23</v>
      </c>
    </row>
    <row r="14" spans="1:4" ht="21" x14ac:dyDescent="0.35">
      <c r="A14" s="16" t="s">
        <v>13</v>
      </c>
      <c r="B14" s="25">
        <v>2</v>
      </c>
      <c r="C14" s="28" t="str">
        <f>ROUND(B14/B$11*100, 2) &amp; "%"</f>
        <v>3.17%</v>
      </c>
      <c r="D14" s="24"/>
    </row>
    <row r="15" spans="1:4" ht="21" x14ac:dyDescent="0.35">
      <c r="A15" s="17" t="s">
        <v>16</v>
      </c>
      <c r="B15" s="26">
        <v>4</v>
      </c>
      <c r="C15" s="18" t="str">
        <f t="shared" ref="C15:C21" si="0">ROUND(B15/B$11*100, 2) &amp; "%"</f>
        <v>6.35%</v>
      </c>
      <c r="D15" s="24"/>
    </row>
    <row r="16" spans="1:4" ht="21" x14ac:dyDescent="0.35">
      <c r="A16" s="17" t="s">
        <v>14</v>
      </c>
      <c r="B16" s="26">
        <v>1</v>
      </c>
      <c r="C16" s="18" t="str">
        <f t="shared" si="0"/>
        <v>1.59%</v>
      </c>
      <c r="D16" s="24"/>
    </row>
    <row r="17" spans="1:4" ht="21" x14ac:dyDescent="0.35">
      <c r="A17" s="17" t="s">
        <v>15</v>
      </c>
      <c r="B17" s="26">
        <v>2</v>
      </c>
      <c r="C17" s="20" t="str">
        <f t="shared" si="0"/>
        <v>3.17%</v>
      </c>
    </row>
    <row r="18" spans="1:4" ht="21" x14ac:dyDescent="0.35">
      <c r="A18" s="19" t="s">
        <v>17</v>
      </c>
      <c r="B18" s="26">
        <v>40</v>
      </c>
      <c r="C18" s="18" t="str">
        <f t="shared" si="0"/>
        <v>63.49%</v>
      </c>
      <c r="D18" s="24"/>
    </row>
    <row r="19" spans="1:4" ht="21" x14ac:dyDescent="0.35">
      <c r="A19" s="19" t="s">
        <v>18</v>
      </c>
      <c r="B19" s="25">
        <v>2</v>
      </c>
      <c r="C19" s="18" t="str">
        <f t="shared" si="0"/>
        <v>3.17%</v>
      </c>
    </row>
    <row r="20" spans="1:4" ht="21" x14ac:dyDescent="0.35">
      <c r="A20" s="19" t="s">
        <v>19</v>
      </c>
      <c r="B20" s="26">
        <v>4</v>
      </c>
      <c r="C20" s="20" t="str">
        <f t="shared" si="0"/>
        <v>6.35%</v>
      </c>
    </row>
    <row r="21" spans="1:4" ht="21" x14ac:dyDescent="0.35">
      <c r="A21" s="21" t="s">
        <v>20</v>
      </c>
      <c r="B21" s="27">
        <v>8</v>
      </c>
      <c r="C21" s="22" t="str">
        <f t="shared" si="0"/>
        <v>12.7%</v>
      </c>
      <c r="D21" s="24"/>
    </row>
    <row r="22" spans="1:4" ht="21" x14ac:dyDescent="0.35">
      <c r="A22" s="30" t="s">
        <v>24</v>
      </c>
      <c r="B22" s="31">
        <f>SUM(B14:B21)</f>
        <v>63</v>
      </c>
      <c r="C22" s="2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Junod</dc:creator>
  <cp:lastModifiedBy>Jonathan Junod</cp:lastModifiedBy>
  <dcterms:created xsi:type="dcterms:W3CDTF">2015-06-05T18:17:20Z</dcterms:created>
  <dcterms:modified xsi:type="dcterms:W3CDTF">2026-02-24T13:29:11Z</dcterms:modified>
</cp:coreProperties>
</file>